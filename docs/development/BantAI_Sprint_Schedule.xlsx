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2" autoFilterDateGrouping="1"/>
  </bookViews>
  <sheets>
    <sheet name="Sprint Summary" sheetId="1" state="visible" r:id="rId1"/>
    <sheet name="Gantt Overview" sheetId="2" state="visible" r:id="rId2"/>
    <sheet name="Sprint Backlog" sheetId="3" state="visible" r:id="rId3"/>
  </sheets>
  <definedNames>
    <definedName name="_xlnm._FilterDatabase" localSheetId="2" hidden="1">'Sprint Backlog'!$A$4:$G$78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mmm\ d&quot;, &quot;yyyy"/>
  </numFmts>
  <fonts count="12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10"/>
    </font>
    <font>
      <name val="Arial"/>
      <charset val="1"/>
      <i val="1"/>
      <color rgb="FF808080"/>
      <sz val="9"/>
    </font>
    <font>
      <name val="Arial"/>
      <charset val="1"/>
      <b val="1"/>
      <color rgb="FFFFFFFF"/>
      <sz val="10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274E13"/>
      <sz val="10"/>
    </font>
    <font>
      <name val="Arial"/>
      <charset val="1"/>
      <b val="1"/>
      <color rgb="FF7F6000"/>
      <sz val="10"/>
    </font>
    <font>
      <name val="Arial"/>
      <charset val="1"/>
      <b val="1"/>
      <color rgb="FF434343"/>
      <sz val="10"/>
    </font>
    <font>
      <name val="Arial"/>
      <charset val="1"/>
      <b val="1"/>
      <color rgb="FF741B47"/>
      <sz val="10"/>
    </font>
    <font>
      <name val="Arial"/>
      <charset val="1"/>
      <b val="1"/>
      <i val="1"/>
      <sz val="10"/>
    </font>
  </fonts>
  <fills count="13">
    <fill>
      <patternFill/>
    </fill>
    <fill>
      <patternFill patternType="gray125"/>
    </fill>
    <fill>
      <patternFill patternType="solid">
        <fgColor rgb="FF2C3E50"/>
        <bgColor rgb="FF434343"/>
      </patternFill>
    </fill>
    <fill>
      <patternFill patternType="solid">
        <fgColor rgb="FF93C47D"/>
        <bgColor rgb="FFB7B7B7"/>
      </patternFill>
    </fill>
    <fill>
      <patternFill patternType="solid">
        <fgColor rgb="FFFFD966"/>
        <bgColor rgb="FFF6B26B"/>
      </patternFill>
    </fill>
    <fill>
      <patternFill patternType="solid">
        <fgColor rgb="FFD9D9D9"/>
        <bgColor rgb="FFEAD1DC"/>
      </patternFill>
    </fill>
    <fill>
      <patternFill patternType="solid">
        <fgColor rgb="FFEAD1DC"/>
        <bgColor rgb="FFD9D9D9"/>
      </patternFill>
    </fill>
    <fill>
      <patternFill patternType="solid">
        <fgColor rgb="FF6FA8DC"/>
        <bgColor rgb="FF76A5AF"/>
      </patternFill>
    </fill>
    <fill>
      <patternFill patternType="solid">
        <fgColor rgb="FF8E7CC3"/>
        <bgColor rgb="FF808080"/>
      </patternFill>
    </fill>
    <fill>
      <patternFill patternType="solid">
        <fgColor rgb="FFF6B26B"/>
        <bgColor rgb="FFFFD966"/>
      </patternFill>
    </fill>
    <fill>
      <patternFill patternType="solid">
        <fgColor rgb="FFB7B7B7"/>
        <bgColor rgb="FF93C47D"/>
      </patternFill>
    </fill>
    <fill>
      <patternFill patternType="solid">
        <fgColor rgb="FF76A5AF"/>
        <bgColor rgb="FF6FA8DC"/>
      </patternFill>
    </fill>
    <fill>
      <patternFill patternType="solid">
        <fgColor rgb="FFE06666"/>
        <bgColor rgb="FFFF6600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6FA8DC"/>
      <rgbColor rgb="FF993366"/>
      <rgbColor rgb="FFEAD1DC"/>
      <rgbColor rgb="FFCCFFFF"/>
      <rgbColor rgb="FF741B47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6B26B"/>
      <rgbColor rgb="FF8E7CC3"/>
      <rgbColor rgb="FFFFD966"/>
      <rgbColor rgb="FF3366FF"/>
      <rgbColor rgb="FF33CCCC"/>
      <rgbColor rgb="FF93C47D"/>
      <rgbColor rgb="FFFFCC00"/>
      <rgbColor rgb="FFFF9900"/>
      <rgbColor rgb="FFFF6600"/>
      <rgbColor rgb="FF595959"/>
      <rgbColor rgb="FF76A5AF"/>
      <rgbColor rgb="FF003366"/>
      <rgbColor rgb="FF339966"/>
      <rgbColor rgb="FF003300"/>
      <rgbColor rgb="FF274E13"/>
      <rgbColor rgb="FF993300"/>
      <rgbColor rgb="FF993366"/>
      <rgbColor rgb="FF434343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zoomScaleNormal="100" workbookViewId="0">
      <pane ySplit="5" topLeftCell="A6" activePane="bottomLeft" state="frozen"/>
      <selection pane="bottomLeft" activeCell="A1" sqref="A1:J14"/>
    </sheetView>
  </sheetViews>
  <sheetFormatPr baseColWidth="8" defaultColWidth="8.7109375" defaultRowHeight="15"/>
  <cols>
    <col width="10" customWidth="1" min="1" max="1"/>
    <col width="34" customWidth="1" min="2" max="2"/>
    <col width="13" customWidth="1" min="3" max="4"/>
    <col width="10" customWidth="1" min="5" max="5"/>
    <col width="13" customWidth="1" min="6" max="6"/>
    <col width="18" customWidth="1" min="7" max="7"/>
    <col width="13" customWidth="1" min="8" max="9"/>
    <col width="12" customWidth="1" min="10" max="10"/>
  </cols>
  <sheetData>
    <row r="1" ht="18" customHeight="1">
      <c r="A1" s="12" t="inlineStr">
        <is>
          <t>BantAI Sprint Schedule</t>
        </is>
      </c>
    </row>
    <row r="2">
      <c r="A2" s="11" t="inlineStr">
        <is>
          <t>Agile Model, 3-week sprints. Started Jun 26, 2026. Target: defense-ready by Oct 31, 2026.</t>
        </is>
      </c>
    </row>
    <row r="3">
      <c r="A3" s="13" t="inlineStr">
        <is>
          <t>As of Jul 20, 2026: Sprint 1 complete, Sprint 2 in progress.</t>
        </is>
      </c>
    </row>
    <row r="5" ht="25.5" customHeight="1">
      <c r="A5" s="14" t="inlineStr">
        <is>
          <t>Sprint</t>
        </is>
      </c>
      <c r="B5" s="14" t="inlineStr">
        <is>
          <t>Goal</t>
        </is>
      </c>
      <c r="C5" s="14" t="inlineStr">
        <is>
          <t>Start</t>
        </is>
      </c>
      <c r="D5" s="14" t="inlineStr">
        <is>
          <t>End</t>
        </is>
      </c>
      <c r="E5" s="14" t="inlineStr">
        <is>
          <t>Duration</t>
        </is>
      </c>
      <c r="F5" s="14" t="inlineStr">
        <is>
          <t>Sprint planning</t>
        </is>
      </c>
      <c r="G5" s="14" t="inlineStr">
        <is>
          <t>Daily standups</t>
        </is>
      </c>
      <c r="H5" s="14" t="inlineStr">
        <is>
          <t>Sprint review</t>
        </is>
      </c>
      <c r="I5" s="14" t="inlineStr">
        <is>
          <t>Sprint retro</t>
        </is>
      </c>
      <c r="J5" s="14" t="inlineStr">
        <is>
          <t>Status</t>
        </is>
      </c>
    </row>
    <row r="6" ht="25.5" customHeight="1">
      <c r="A6" s="15" t="inlineStr">
        <is>
          <t>Sprint 1</t>
        </is>
      </c>
      <c r="B6" s="16" t="inlineStr">
        <is>
          <t>Foundation &amp; Core Backend</t>
        </is>
      </c>
      <c r="C6" s="17" t="n">
        <v>46199</v>
      </c>
      <c r="D6" s="17" t="n">
        <v>46219</v>
      </c>
      <c r="E6" s="18">
        <f>D6-C6+1</f>
        <v/>
      </c>
      <c r="F6" s="17">
        <f>C6</f>
        <v/>
      </c>
      <c r="G6" s="18" t="inlineStr">
        <is>
          <t>Every weekday, 15 min</t>
        </is>
      </c>
      <c r="H6" s="17">
        <f>D6</f>
        <v/>
      </c>
      <c r="I6" s="17">
        <f>D6</f>
        <v/>
      </c>
      <c r="J6" s="19" t="inlineStr">
        <is>
          <t>Completed</t>
        </is>
      </c>
    </row>
    <row r="7" ht="25.5" customHeight="1">
      <c r="A7" s="15" t="inlineStr">
        <is>
          <t>Sprint 2</t>
        </is>
      </c>
      <c r="B7" s="16" t="inlineStr">
        <is>
          <t>Classification Pipeline &amp; Mobile Inbox</t>
        </is>
      </c>
      <c r="C7" s="17" t="n">
        <v>46220</v>
      </c>
      <c r="D7" s="17" t="n">
        <v>46240</v>
      </c>
      <c r="E7" s="18">
        <f>D7-C7+1</f>
        <v/>
      </c>
      <c r="F7" s="17">
        <f>C7</f>
        <v/>
      </c>
      <c r="G7" s="18" t="inlineStr">
        <is>
          <t>Every weekday, 15 min</t>
        </is>
      </c>
      <c r="H7" s="17">
        <f>D7</f>
        <v/>
      </c>
      <c r="I7" s="17">
        <f>D7</f>
        <v/>
      </c>
      <c r="J7" s="20" t="inlineStr">
        <is>
          <t>Current</t>
        </is>
      </c>
    </row>
    <row r="8" ht="25.5" customHeight="1">
      <c r="A8" s="15" t="inlineStr">
        <is>
          <t>Sprint 3</t>
        </is>
      </c>
      <c r="B8" s="16" t="inlineStr">
        <is>
          <t>Clustering, Explainability, Alerts &amp; Campaigns</t>
        </is>
      </c>
      <c r="C8" s="17" t="n">
        <v>46241</v>
      </c>
      <c r="D8" s="17" t="n">
        <v>46261</v>
      </c>
      <c r="E8" s="18">
        <f>D8-C8+1</f>
        <v/>
      </c>
      <c r="F8" s="17">
        <f>C8</f>
        <v/>
      </c>
      <c r="G8" s="18" t="inlineStr">
        <is>
          <t>Every weekday, 15 min</t>
        </is>
      </c>
      <c r="H8" s="17">
        <f>D8</f>
        <v/>
      </c>
      <c r="I8" s="17">
        <f>D8</f>
        <v/>
      </c>
      <c r="J8" s="21" t="inlineStr">
        <is>
          <t>Upcoming</t>
        </is>
      </c>
    </row>
    <row r="9" ht="25.5" customHeight="1">
      <c r="A9" s="15" t="inlineStr">
        <is>
          <t>Sprint 4</t>
        </is>
      </c>
      <c r="B9" s="16" t="inlineStr">
        <is>
          <t>Web Dashboard, Report Pipeline &amp; Retraining</t>
        </is>
      </c>
      <c r="C9" s="17" t="n">
        <v>46262</v>
      </c>
      <c r="D9" s="17" t="n">
        <v>46282</v>
      </c>
      <c r="E9" s="18">
        <f>D9-C9+1</f>
        <v/>
      </c>
      <c r="F9" s="17">
        <f>C9</f>
        <v/>
      </c>
      <c r="G9" s="18" t="inlineStr">
        <is>
          <t>Every weekday, 15 min</t>
        </is>
      </c>
      <c r="H9" s="17">
        <f>D9</f>
        <v/>
      </c>
      <c r="I9" s="17">
        <f>D9</f>
        <v/>
      </c>
      <c r="J9" s="21" t="inlineStr">
        <is>
          <t>Upcoming</t>
        </is>
      </c>
    </row>
    <row r="10" ht="25.5" customHeight="1">
      <c r="A10" s="15" t="inlineStr">
        <is>
          <t>Sprint 5</t>
        </is>
      </c>
      <c r="B10" s="16" t="inlineStr">
        <is>
          <t>Integration, Hardening &amp; Stretch Features</t>
        </is>
      </c>
      <c r="C10" s="17" t="n">
        <v>46283</v>
      </c>
      <c r="D10" s="17" t="n">
        <v>46303</v>
      </c>
      <c r="E10" s="18">
        <f>D10-C10+1</f>
        <v/>
      </c>
      <c r="F10" s="17">
        <f>C10</f>
        <v/>
      </c>
      <c r="G10" s="18" t="inlineStr">
        <is>
          <t>Every weekday, 15 min</t>
        </is>
      </c>
      <c r="H10" s="17">
        <f>D10</f>
        <v/>
      </c>
      <c r="I10" s="17">
        <f>D10</f>
        <v/>
      </c>
      <c r="J10" s="21" t="inlineStr">
        <is>
          <t>Upcoming</t>
        </is>
      </c>
    </row>
    <row r="11" ht="25.5" customHeight="1">
      <c r="A11" s="15" t="inlineStr">
        <is>
          <t>Sprint 6</t>
        </is>
      </c>
      <c r="B11" s="16" t="inlineStr">
        <is>
          <t>Testing, Limited Deployment &amp; Defense Readiness</t>
        </is>
      </c>
      <c r="C11" s="17" t="n">
        <v>46304</v>
      </c>
      <c r="D11" s="17" t="n">
        <v>46324</v>
      </c>
      <c r="E11" s="18">
        <f>D11-C11+1</f>
        <v/>
      </c>
      <c r="F11" s="17">
        <f>C11</f>
        <v/>
      </c>
      <c r="G11" s="18" t="inlineStr">
        <is>
          <t>Every weekday, 15 min</t>
        </is>
      </c>
      <c r="H11" s="17">
        <f>D11</f>
        <v/>
      </c>
      <c r="I11" s="17">
        <f>D11</f>
        <v/>
      </c>
      <c r="J11" s="21" t="inlineStr">
        <is>
          <t>Upcoming</t>
        </is>
      </c>
    </row>
    <row r="12">
      <c r="A12" s="15" t="inlineStr">
        <is>
          <t>Buffer</t>
        </is>
      </c>
      <c r="B12" s="22" t="inlineStr">
        <is>
          <t>Buffer / defense day</t>
        </is>
      </c>
      <c r="C12" s="17" t="n">
        <v>46325</v>
      </c>
      <c r="D12" s="17" t="n">
        <v>46326</v>
      </c>
      <c r="E12" s="18">
        <f>D12-C12+1</f>
        <v/>
      </c>
      <c r="F12" s="23" t="n"/>
      <c r="G12" s="23" t="n"/>
      <c r="H12" s="23" t="n"/>
      <c r="I12" s="23" t="n"/>
      <c r="J12" s="24" t="inlineStr">
        <is>
          <t>Buffer</t>
        </is>
      </c>
    </row>
    <row r="14">
      <c r="A14" s="13" t="inlineStr">
        <is>
          <t>Note: sprint review and retrospective are shown on the same day (last day of sprint), standard practice for short sprints.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1" sqref="A1:XFD1048576"/>
    </sheetView>
  </sheetViews>
  <sheetFormatPr baseColWidth="8" defaultColWidth="8.7109375" defaultRowHeight="15"/>
  <cols>
    <col width="12" customWidth="1" min="1" max="1"/>
    <col width="30.28515625" bestFit="1" customWidth="1" min="2" max="2"/>
    <col width="19.85546875" bestFit="1" customWidth="1" min="3" max="3"/>
    <col width="7.42578125" bestFit="1" customWidth="1" min="4" max="4"/>
    <col width="8.85546875" bestFit="1" customWidth="1" min="5" max="9"/>
    <col width="7.7109375" bestFit="1" customWidth="1" min="10" max="17"/>
    <col width="7.140625" bestFit="1" customWidth="1" min="18" max="21"/>
  </cols>
  <sheetData>
    <row r="1" ht="18" customHeight="1">
      <c r="A1" s="12" t="inlineStr">
        <is>
          <t>BantAI Sprint Schedule - Gantt Overview</t>
        </is>
      </c>
    </row>
    <row r="2">
      <c r="A2" s="11" t="inlineStr">
        <is>
          <t>6 sprints, 3 weeks each, Jun 26 - Oct 29, 2026, plus a 2-day buffer before the Oct 31 deadline.</t>
        </is>
      </c>
    </row>
    <row r="4" ht="38.25" customHeight="1">
      <c r="A4" s="14" t="inlineStr">
        <is>
          <t>Sprint</t>
        </is>
      </c>
      <c r="B4" s="14" t="inlineStr">
        <is>
          <t>Focus / Track</t>
        </is>
      </c>
      <c r="C4" s="14" t="inlineStr">
        <is>
          <t>Dates</t>
        </is>
      </c>
      <c r="D4" s="14" t="inlineStr">
        <is>
          <t>Wk1
Jun 26-02</t>
        </is>
      </c>
      <c r="E4" s="14" t="inlineStr">
        <is>
          <t>Wk2
Jul 03-09</t>
        </is>
      </c>
      <c r="F4" s="14" t="inlineStr">
        <is>
          <t>Wk3
Jul 10-16</t>
        </is>
      </c>
      <c r="G4" s="14" t="inlineStr">
        <is>
          <t>Wk4
Jul 17-23</t>
        </is>
      </c>
      <c r="H4" s="14" t="inlineStr">
        <is>
          <t>Wk5
Jul 24-30</t>
        </is>
      </c>
      <c r="I4" s="14" t="inlineStr">
        <is>
          <t>Wk6
Jul 31-06</t>
        </is>
      </c>
      <c r="J4" s="14" t="inlineStr">
        <is>
          <t>Wk7
Aug 07-13</t>
        </is>
      </c>
      <c r="K4" s="14" t="inlineStr">
        <is>
          <t>Wk8
Aug 14-20</t>
        </is>
      </c>
      <c r="L4" s="14" t="inlineStr">
        <is>
          <t>Wk9
Aug 21-27</t>
        </is>
      </c>
      <c r="M4" s="14" t="inlineStr">
        <is>
          <t>Wk10
Aug 28-03</t>
        </is>
      </c>
      <c r="N4" s="14" t="inlineStr">
        <is>
          <t>Wk11
Sep 04-10</t>
        </is>
      </c>
      <c r="O4" s="14" t="inlineStr">
        <is>
          <t>Wk12
Sep 11-17</t>
        </is>
      </c>
      <c r="P4" s="14" t="inlineStr">
        <is>
          <t>Wk13
Sep 18-24</t>
        </is>
      </c>
      <c r="Q4" s="14" t="inlineStr">
        <is>
          <t>Wk14
Sep 25-01</t>
        </is>
      </c>
      <c r="R4" s="14" t="inlineStr">
        <is>
          <t>Wk15
Oct 02-08</t>
        </is>
      </c>
      <c r="S4" s="14" t="inlineStr">
        <is>
          <t>Wk16
Oct 09-15</t>
        </is>
      </c>
      <c r="T4" s="14" t="inlineStr">
        <is>
          <t>Wk17
Oct 16-22</t>
        </is>
      </c>
      <c r="U4" s="14" t="inlineStr">
        <is>
          <t>Wk18
Oct 23-29</t>
        </is>
      </c>
    </row>
    <row r="5">
      <c r="A5" s="19" t="inlineStr">
        <is>
          <t>Sprint 1
(Completed)</t>
        </is>
      </c>
      <c r="B5" s="8" t="inlineStr">
        <is>
          <t>Goal: Foundation &amp; Core Backend</t>
        </is>
      </c>
      <c r="C5" s="44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</row>
    <row r="6">
      <c r="A6" s="45" t="n"/>
      <c r="B6" s="16" t="inlineStr">
        <is>
          <t>Track A - Backend &amp; Infrastructure</t>
        </is>
      </c>
      <c r="C6" s="7" t="inlineStr">
        <is>
          <t>Jun 26 - Jul 16, 2026</t>
        </is>
      </c>
      <c r="D6" s="26" t="n"/>
      <c r="E6" s="26" t="n"/>
      <c r="F6" s="26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>
      <c r="A7" s="45" t="n"/>
      <c r="B7" s="16" t="inlineStr">
        <is>
          <t>Track B - AI/ML Pipeline</t>
        </is>
      </c>
      <c r="C7" s="45" t="n"/>
      <c r="D7" s="27" t="n"/>
      <c r="E7" s="27" t="n"/>
      <c r="F7" s="27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</row>
    <row r="8">
      <c r="A8" s="45" t="n"/>
      <c r="B8" s="16" t="inlineStr">
        <is>
          <t>Track C - Mobile App</t>
        </is>
      </c>
      <c r="C8" s="45" t="n"/>
      <c r="D8" s="25" t="n"/>
      <c r="E8" s="25" t="n"/>
      <c r="F8" s="25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</row>
    <row r="9">
      <c r="A9" s="46" t="n"/>
      <c r="B9" s="16" t="inlineStr">
        <is>
          <t>Track D - Web Dashboard</t>
        </is>
      </c>
      <c r="C9" s="46" t="n"/>
      <c r="D9" s="28" t="n"/>
      <c r="E9" s="28" t="n"/>
      <c r="F9" s="28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</row>
    <row r="10">
      <c r="A10" s="20" t="inlineStr">
        <is>
          <t>Sprint 2
(Current)</t>
        </is>
      </c>
      <c r="B10" s="5" t="inlineStr">
        <is>
          <t>Goal: Classification Pipeline &amp; Mobile Inbox</t>
        </is>
      </c>
      <c r="C10" s="44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</row>
    <row r="11">
      <c r="A11" s="45" t="n"/>
      <c r="B11" s="16" t="inlineStr">
        <is>
          <t>Track A - Backend &amp; Infrastructure</t>
        </is>
      </c>
      <c r="C11" s="4" t="inlineStr">
        <is>
          <t>Jul 17 - Aug 06, 2026</t>
        </is>
      </c>
      <c r="D11" s="23" t="n"/>
      <c r="E11" s="23" t="n"/>
      <c r="F11" s="23" t="n"/>
      <c r="G11" s="26" t="n"/>
      <c r="H11" s="26" t="n"/>
      <c r="I11" s="26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</row>
    <row r="12">
      <c r="A12" s="45" t="n"/>
      <c r="B12" s="16" t="inlineStr">
        <is>
          <t>Track B - AI/ML Pipeline</t>
        </is>
      </c>
      <c r="C12" s="45" t="n"/>
      <c r="D12" s="23" t="n"/>
      <c r="E12" s="23" t="n"/>
      <c r="F12" s="23" t="n"/>
      <c r="G12" s="27" t="n"/>
      <c r="H12" s="27" t="n"/>
      <c r="I12" s="27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</row>
    <row r="13">
      <c r="A13" s="45" t="n"/>
      <c r="B13" s="16" t="inlineStr">
        <is>
          <t>Track C - Mobile App</t>
        </is>
      </c>
      <c r="C13" s="45" t="n"/>
      <c r="D13" s="23" t="n"/>
      <c r="E13" s="23" t="n"/>
      <c r="F13" s="23" t="n"/>
      <c r="G13" s="25" t="n"/>
      <c r="H13" s="25" t="n"/>
      <c r="I13" s="25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</row>
    <row r="14">
      <c r="A14" s="46" t="n"/>
      <c r="B14" s="16" t="inlineStr">
        <is>
          <t>Track D - Web Dashboard</t>
        </is>
      </c>
      <c r="C14" s="46" t="n"/>
      <c r="D14" s="23" t="n"/>
      <c r="E14" s="23" t="n"/>
      <c r="F14" s="23" t="n"/>
      <c r="G14" s="28" t="n"/>
      <c r="H14" s="28" t="n"/>
      <c r="I14" s="28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</row>
    <row r="15">
      <c r="A15" s="21" t="inlineStr">
        <is>
          <t>Sprint 3
(Upcoming)</t>
        </is>
      </c>
      <c r="B15" s="2" t="inlineStr">
        <is>
          <t>Goal: Clustering, Explainability, Alerts &amp; Campaigns</t>
        </is>
      </c>
      <c r="C15" s="44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</row>
    <row r="16">
      <c r="A16" s="45" t="n"/>
      <c r="B16" s="16" t="inlineStr">
        <is>
          <t>Track A - Backend &amp; Infrastructure</t>
        </is>
      </c>
      <c r="C16" s="1" t="inlineStr">
        <is>
          <t>Aug 07 - Aug 27, 2026</t>
        </is>
      </c>
      <c r="D16" s="23" t="n"/>
      <c r="E16" s="23" t="n"/>
      <c r="F16" s="23" t="n"/>
      <c r="G16" s="23" t="n"/>
      <c r="H16" s="23" t="n"/>
      <c r="I16" s="23" t="n"/>
      <c r="J16" s="26" t="n"/>
      <c r="K16" s="26" t="n"/>
      <c r="L16" s="26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</row>
    <row r="17">
      <c r="A17" s="45" t="n"/>
      <c r="B17" s="16" t="inlineStr">
        <is>
          <t>Track B - AI/ML Pipeline</t>
        </is>
      </c>
      <c r="C17" s="45" t="n"/>
      <c r="D17" s="23" t="n"/>
      <c r="E17" s="23" t="n"/>
      <c r="F17" s="23" t="n"/>
      <c r="G17" s="23" t="n"/>
      <c r="H17" s="23" t="n"/>
      <c r="I17" s="23" t="n"/>
      <c r="J17" s="27" t="n"/>
      <c r="K17" s="27" t="n"/>
      <c r="L17" s="27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</row>
    <row r="18">
      <c r="A18" s="45" t="n"/>
      <c r="B18" s="16" t="inlineStr">
        <is>
          <t>Track C - Mobile App</t>
        </is>
      </c>
      <c r="C18" s="45" t="n"/>
      <c r="D18" s="23" t="n"/>
      <c r="E18" s="23" t="n"/>
      <c r="F18" s="23" t="n"/>
      <c r="G18" s="23" t="n"/>
      <c r="H18" s="23" t="n"/>
      <c r="I18" s="23" t="n"/>
      <c r="J18" s="25" t="n"/>
      <c r="K18" s="25" t="n"/>
      <c r="L18" s="25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</row>
    <row r="19">
      <c r="A19" s="46" t="n"/>
      <c r="B19" s="16" t="inlineStr">
        <is>
          <t>Track D - Web Dashboard</t>
        </is>
      </c>
      <c r="C19" s="46" t="n"/>
      <c r="D19" s="23" t="n"/>
      <c r="E19" s="23" t="n"/>
      <c r="F19" s="23" t="n"/>
      <c r="G19" s="23" t="n"/>
      <c r="H19" s="23" t="n"/>
      <c r="I19" s="23" t="n"/>
      <c r="J19" s="28" t="n"/>
      <c r="K19" s="28" t="n"/>
      <c r="L19" s="28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</row>
    <row r="20">
      <c r="A20" s="21" t="inlineStr">
        <is>
          <t>Sprint 4
(Upcoming)</t>
        </is>
      </c>
      <c r="B20" s="2" t="inlineStr">
        <is>
          <t>Goal: Web Dashboard, Report Pipeline &amp; Retraining</t>
        </is>
      </c>
      <c r="C20" s="44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</row>
    <row r="21">
      <c r="A21" s="45" t="n"/>
      <c r="B21" s="16" t="inlineStr">
        <is>
          <t>Track A - Backend &amp; Infrastructure</t>
        </is>
      </c>
      <c r="C21" s="1" t="inlineStr">
        <is>
          <t>Aug 28 - Sep 17, 2026</t>
        </is>
      </c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6" t="n"/>
      <c r="N21" s="26" t="n"/>
      <c r="O21" s="26" t="n"/>
      <c r="P21" s="23" t="n"/>
      <c r="Q21" s="23" t="n"/>
      <c r="R21" s="23" t="n"/>
      <c r="S21" s="23" t="n"/>
      <c r="T21" s="23" t="n"/>
      <c r="U21" s="23" t="n"/>
    </row>
    <row r="22">
      <c r="A22" s="45" t="n"/>
      <c r="B22" s="16" t="inlineStr">
        <is>
          <t>Track B - AI/ML Pipeline</t>
        </is>
      </c>
      <c r="C22" s="45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7" t="n"/>
      <c r="N22" s="27" t="n"/>
      <c r="O22" s="27" t="n"/>
      <c r="P22" s="23" t="n"/>
      <c r="Q22" s="23" t="n"/>
      <c r="R22" s="23" t="n"/>
      <c r="S22" s="23" t="n"/>
      <c r="T22" s="23" t="n"/>
      <c r="U22" s="23" t="n"/>
    </row>
    <row r="23">
      <c r="A23" s="45" t="n"/>
      <c r="B23" s="16" t="inlineStr">
        <is>
          <t>Track C - Mobile App</t>
        </is>
      </c>
      <c r="C23" s="45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5" t="n"/>
      <c r="N23" s="25" t="n"/>
      <c r="O23" s="25" t="n"/>
      <c r="P23" s="23" t="n"/>
      <c r="Q23" s="23" t="n"/>
      <c r="R23" s="23" t="n"/>
      <c r="S23" s="23" t="n"/>
      <c r="T23" s="23" t="n"/>
      <c r="U23" s="23" t="n"/>
    </row>
    <row r="24">
      <c r="A24" s="46" t="n"/>
      <c r="B24" s="16" t="inlineStr">
        <is>
          <t>Track D - Web Dashboard</t>
        </is>
      </c>
      <c r="C24" s="46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8" t="n"/>
      <c r="N24" s="28" t="n"/>
      <c r="O24" s="28" t="n"/>
      <c r="P24" s="23" t="n"/>
      <c r="Q24" s="23" t="n"/>
      <c r="R24" s="23" t="n"/>
      <c r="S24" s="23" t="n"/>
      <c r="T24" s="23" t="n"/>
      <c r="U24" s="23" t="n"/>
    </row>
    <row r="25">
      <c r="A25" s="21" t="inlineStr">
        <is>
          <t>Sprint 5
(Upcoming)</t>
        </is>
      </c>
      <c r="B25" s="2" t="inlineStr">
        <is>
          <t>Goal: Integration, Hardening &amp; Stretch Features</t>
        </is>
      </c>
      <c r="C25" s="44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</row>
    <row r="26">
      <c r="A26" s="45" t="n"/>
      <c r="B26" s="16" t="inlineStr">
        <is>
          <t>Track A - Backend &amp; Infrastructure</t>
        </is>
      </c>
      <c r="C26" s="1" t="inlineStr">
        <is>
          <t>Sep 18 - Oct 08, 2026</t>
        </is>
      </c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6" t="n"/>
      <c r="Q26" s="26" t="n"/>
      <c r="R26" s="26" t="n"/>
      <c r="S26" s="23" t="n"/>
      <c r="T26" s="23" t="n"/>
      <c r="U26" s="23" t="n"/>
    </row>
    <row r="27">
      <c r="A27" s="45" t="n"/>
      <c r="B27" s="16" t="inlineStr">
        <is>
          <t>Track B - AI/ML Pipeline</t>
        </is>
      </c>
      <c r="C27" s="45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7" t="n"/>
      <c r="Q27" s="27" t="n"/>
      <c r="R27" s="27" t="n"/>
      <c r="S27" s="23" t="n"/>
      <c r="T27" s="23" t="n"/>
      <c r="U27" s="23" t="n"/>
    </row>
    <row r="28">
      <c r="A28" s="45" t="n"/>
      <c r="B28" s="16" t="inlineStr">
        <is>
          <t>Track C - Mobile App</t>
        </is>
      </c>
      <c r="C28" s="45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5" t="n"/>
      <c r="Q28" s="25" t="n"/>
      <c r="R28" s="25" t="n"/>
      <c r="S28" s="23" t="n"/>
      <c r="T28" s="23" t="n"/>
      <c r="U28" s="23" t="n"/>
    </row>
    <row r="29">
      <c r="A29" s="46" t="n"/>
      <c r="B29" s="16" t="inlineStr">
        <is>
          <t>Track D - Web Dashboard</t>
        </is>
      </c>
      <c r="C29" s="46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8" t="n"/>
      <c r="Q29" s="28" t="n"/>
      <c r="R29" s="28" t="n"/>
      <c r="S29" s="23" t="n"/>
      <c r="T29" s="23" t="n"/>
      <c r="U29" s="23" t="n"/>
    </row>
    <row r="30">
      <c r="A30" s="21" t="inlineStr">
        <is>
          <t>Sprint 6
(Upcoming)</t>
        </is>
      </c>
      <c r="B30" s="2" t="inlineStr">
        <is>
          <t>Goal: Testing, Limited Deployment &amp; Defense Readiness</t>
        </is>
      </c>
      <c r="C30" s="44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</row>
    <row r="31">
      <c r="A31" s="45" t="n"/>
      <c r="B31" s="16" t="inlineStr">
        <is>
          <t>Testing (All Tracks)</t>
        </is>
      </c>
      <c r="C31" s="1" t="inlineStr">
        <is>
          <t>Oct 09 - Oct 29, 2026</t>
        </is>
      </c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31" t="n"/>
      <c r="T31" s="31" t="n"/>
      <c r="U31" s="31" t="n"/>
    </row>
    <row r="32">
      <c r="A32" s="45" t="n"/>
      <c r="B32" s="16" t="inlineStr">
        <is>
          <t>Deployment (Track A/B)</t>
        </is>
      </c>
      <c r="C32" s="45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32" t="n"/>
      <c r="T32" s="32" t="n"/>
      <c r="U32" s="32" t="n"/>
    </row>
    <row r="33">
      <c r="A33" s="45" t="n"/>
      <c r="B33" s="16" t="inlineStr">
        <is>
          <t>Wrap-up (Track C/D)</t>
        </is>
      </c>
      <c r="C33" s="45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9" t="n"/>
      <c r="T33" s="29" t="n"/>
      <c r="U33" s="29" t="n"/>
    </row>
    <row r="34">
      <c r="A34" s="46" t="n"/>
      <c r="B34" s="16" t="inlineStr">
        <is>
          <t>Defense Prep (All)</t>
        </is>
      </c>
      <c r="C34" s="46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33" t="n"/>
      <c r="T34" s="33" t="n"/>
      <c r="U34" s="33" t="n"/>
    </row>
    <row r="37">
      <c r="A37" s="34" t="inlineStr">
        <is>
          <t>Legend:</t>
        </is>
      </c>
    </row>
    <row r="38">
      <c r="A38" s="26" t="n"/>
      <c r="B38" s="35" t="inlineStr">
        <is>
          <t>Track A - Backend &amp; Infrastructure</t>
        </is>
      </c>
    </row>
    <row r="39">
      <c r="A39" s="27" t="n"/>
      <c r="B39" s="35" t="inlineStr">
        <is>
          <t>Track B - AI/ML Pipeline</t>
        </is>
      </c>
    </row>
    <row r="40">
      <c r="A40" s="25" t="n"/>
      <c r="B40" s="35" t="inlineStr">
        <is>
          <t>Track C - Mobile App</t>
        </is>
      </c>
    </row>
    <row r="41">
      <c r="A41" s="28" t="n"/>
      <c r="B41" s="35" t="inlineStr">
        <is>
          <t>Track D - Web Dashboard</t>
        </is>
      </c>
    </row>
    <row r="42">
      <c r="A42" s="31" t="n"/>
      <c r="B42" s="35" t="inlineStr">
        <is>
          <t>Testing (All Tracks)</t>
        </is>
      </c>
    </row>
    <row r="43">
      <c r="A43" s="32" t="n"/>
      <c r="B43" s="35" t="inlineStr">
        <is>
          <t>Deployment (Track A/B)</t>
        </is>
      </c>
    </row>
    <row r="44">
      <c r="A44" s="29" t="n"/>
      <c r="B44" s="35" t="inlineStr">
        <is>
          <t>Wrap-up (Track C/D)</t>
        </is>
      </c>
    </row>
    <row r="45">
      <c r="A45" s="33" t="n"/>
      <c r="B45" s="35" t="inlineStr">
        <is>
          <t>Defense Prep (All)</t>
        </is>
      </c>
    </row>
  </sheetData>
  <mergeCells count="20">
    <mergeCell ref="B25:C25"/>
    <mergeCell ref="A5:A9"/>
    <mergeCell ref="C26:C29"/>
    <mergeCell ref="A20:A24"/>
    <mergeCell ref="A2:U2"/>
    <mergeCell ref="C16:C19"/>
    <mergeCell ref="A10:A14"/>
    <mergeCell ref="C21:C24"/>
    <mergeCell ref="C31:C34"/>
    <mergeCell ref="A30:A34"/>
    <mergeCell ref="A15:A19"/>
    <mergeCell ref="B10:C10"/>
    <mergeCell ref="C11:C14"/>
    <mergeCell ref="B30:C30"/>
    <mergeCell ref="B15:C15"/>
    <mergeCell ref="A25:A29"/>
    <mergeCell ref="B20:C20"/>
    <mergeCell ref="B5:C5"/>
    <mergeCell ref="A1:U1"/>
    <mergeCell ref="C6:C9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tabSelected="1" zoomScaleNormal="100" workbookViewId="0">
      <pane ySplit="4" topLeftCell="A5" activePane="bottomLeft" state="frozen"/>
      <selection pane="bottomLeft" activeCell="J8" sqref="J8"/>
    </sheetView>
  </sheetViews>
  <sheetFormatPr baseColWidth="8" defaultColWidth="8.7109375" defaultRowHeight="15"/>
  <cols>
    <col width="11" bestFit="1" customWidth="1" min="1" max="1"/>
    <col width="22.85546875" bestFit="1" customWidth="1" min="2" max="2"/>
    <col width="62" customWidth="1" min="3" max="3"/>
    <col width="14.42578125" bestFit="1" customWidth="1" min="4" max="4"/>
    <col width="13.5703125" bestFit="1" customWidth="1" min="5" max="5"/>
    <col width="13.28515625" bestFit="1" customWidth="1" min="6" max="6"/>
    <col width="11.140625" bestFit="1" customWidth="1" min="7" max="7"/>
  </cols>
  <sheetData>
    <row r="1" ht="18" customHeight="1">
      <c r="A1" s="12" t="inlineStr">
        <is>
          <t>BantAI Sprint Backlog</t>
        </is>
      </c>
    </row>
    <row r="2">
      <c r="A2" s="11" t="inlineStr">
        <is>
          <t>Detailed task list by sprint and track, mapped to the Jun 26 - Oct 29 schedule. Update Status as work progresses.</t>
        </is>
      </c>
    </row>
    <row r="4" ht="25.5" customHeight="1">
      <c r="A4" s="14" t="inlineStr">
        <is>
          <t>Sprint</t>
        </is>
      </c>
      <c r="B4" s="14" t="inlineStr">
        <is>
          <t>Track</t>
        </is>
      </c>
      <c r="C4" s="14" t="inlineStr">
        <is>
          <t>Backlog item</t>
        </is>
      </c>
      <c r="D4" s="14" t="inlineStr">
        <is>
          <t>Start date</t>
        </is>
      </c>
      <c r="E4" s="14" t="inlineStr">
        <is>
          <t>End date</t>
        </is>
      </c>
      <c r="F4" s="14" t="inlineStr">
        <is>
          <t>Duration (days)</t>
        </is>
      </c>
      <c r="G4" s="14" t="inlineStr">
        <is>
          <t>Status</t>
        </is>
      </c>
    </row>
    <row r="5" ht="25.5" customHeight="1">
      <c r="A5" s="18" t="inlineStr">
        <is>
          <t>Sprint 1</t>
        </is>
      </c>
      <c r="B5" s="36" t="inlineStr">
        <is>
          <t>Track A - Backend &amp; Infrastructure</t>
        </is>
      </c>
      <c r="C5" s="16" t="inlineStr">
        <is>
          <t>Finalize monorepo, Docker Compose (PostgreSQL, pgAdmin), and env variables</t>
        </is>
      </c>
      <c r="D5" s="17" t="n">
        <v>46199</v>
      </c>
      <c r="E5" s="17" t="n">
        <v>46219</v>
      </c>
      <c r="F5" s="18">
        <f>E5-D5+1</f>
        <v/>
      </c>
      <c r="G5" s="18" t="inlineStr">
        <is>
          <t>Done</t>
        </is>
      </c>
    </row>
    <row r="6" ht="38.25" customHeight="1">
      <c r="A6" s="18" t="inlineStr">
        <is>
          <t>Sprint 1</t>
        </is>
      </c>
      <c r="B6" s="36" t="inlineStr">
        <is>
          <t>Track A - Backend &amp; Infrastructure</t>
        </is>
      </c>
      <c r="C6" s="16" t="inlineStr">
        <is>
          <t>Resolve Prisma connection issues; commit schema for Android_Users, Contacts, SMS_Messages, Alerts, Protection_Settings, Blocked_Numbers — connectivity resolved &amp; core tables done; Contacts, Protection_Settings, Blocked_Numbers carried to S2</t>
        </is>
      </c>
      <c r="D6" s="17" t="n">
        <v>46199</v>
      </c>
      <c r="E6" s="17" t="n">
        <v>46219</v>
      </c>
      <c r="F6" s="18">
        <f>E6-D6+1</f>
        <v/>
      </c>
      <c r="G6" s="18" t="inlineStr">
        <is>
          <t>Carried to S2</t>
        </is>
      </c>
    </row>
    <row r="7" ht="25.5" customHeight="1">
      <c r="A7" s="18" t="inlineStr">
        <is>
          <t>Sprint 1</t>
        </is>
      </c>
      <c r="B7" s="36" t="inlineStr">
        <is>
          <t>Track A - Backend &amp; Infrastructure</t>
        </is>
      </c>
      <c r="C7" s="16" t="inlineStr">
        <is>
          <t>Scaffold NestJS project with base module structure and OpenAPI docs — scaffold + modules done; OpenAPI docs pending</t>
        </is>
      </c>
      <c r="D7" s="17" t="n">
        <v>46199</v>
      </c>
      <c r="E7" s="17" t="n">
        <v>46219</v>
      </c>
      <c r="F7" s="18">
        <f>E7-D7+1</f>
        <v/>
      </c>
      <c r="G7" s="18" t="inlineStr">
        <is>
          <t>Carried to S2</t>
        </is>
      </c>
    </row>
    <row r="8" ht="25.5" customHeight="1">
      <c r="A8" s="18" t="inlineStr">
        <is>
          <t>Sprint 1</t>
        </is>
      </c>
      <c r="B8" s="36" t="inlineStr">
        <is>
          <t>Track A - Backend &amp; Infrastructure</t>
        </is>
      </c>
      <c r="C8" s="16" t="inlineStr">
        <is>
          <t>Implement auth flow: mobile number verification + 6-digit OTP</t>
        </is>
      </c>
      <c r="D8" s="17" t="n">
        <v>46199</v>
      </c>
      <c r="E8" s="17" t="n">
        <v>46219</v>
      </c>
      <c r="F8" s="18">
        <f>E8-D8+1</f>
        <v/>
      </c>
      <c r="G8" s="18" t="inlineStr">
        <is>
          <t>Done</t>
        </is>
      </c>
    </row>
    <row r="9">
      <c r="A9" s="18" t="inlineStr">
        <is>
          <t>Sprint 1</t>
        </is>
      </c>
      <c r="B9" s="37" t="inlineStr">
        <is>
          <t>Track B - AI/ML Pipeline</t>
        </is>
      </c>
      <c r="C9" s="16" t="inlineStr">
        <is>
          <t>Scaffold Python FastAPI service for the ML pipeline</t>
        </is>
      </c>
      <c r="D9" s="17" t="n">
        <v>46199</v>
      </c>
      <c r="E9" s="17" t="n">
        <v>46219</v>
      </c>
      <c r="F9" s="18">
        <f>E9-D9+1</f>
        <v/>
      </c>
      <c r="G9" s="18" t="inlineStr">
        <is>
          <t>Done</t>
        </is>
      </c>
    </row>
    <row r="10" ht="25.5" customHeight="1">
      <c r="A10" s="18" t="inlineStr">
        <is>
          <t>Sprint 1</t>
        </is>
      </c>
      <c r="B10" s="37" t="inlineStr">
        <is>
          <t>Track B - AI/ML Pipeline</t>
        </is>
      </c>
      <c r="C10" s="16" t="inlineStr">
        <is>
          <t>Set up XLM-RoBERTa fine-tuning environment (dataset loading, SentencePiece tokenizer, 250K vocab)</t>
        </is>
      </c>
      <c r="D10" s="17" t="n">
        <v>46199</v>
      </c>
      <c r="E10" s="17" t="n">
        <v>46219</v>
      </c>
      <c r="F10" s="18">
        <f>E10-D10+1</f>
        <v/>
      </c>
      <c r="G10" s="18" t="inlineStr">
        <is>
          <t>Done</t>
        </is>
      </c>
    </row>
    <row r="11" ht="25.5" customHeight="1">
      <c r="A11" s="18" t="inlineStr">
        <is>
          <t>Sprint 1</t>
        </is>
      </c>
      <c r="B11" s="37" t="inlineStr">
        <is>
          <t>Track B - AI/ML Pipeline</t>
        </is>
      </c>
      <c r="C11" s="16" t="inlineStr">
        <is>
          <t>Draft regex privacy masking layer (URL/PHONE/OTP/AMOUNT) + Unicode NFKC normalization</t>
        </is>
      </c>
      <c r="D11" s="17" t="n">
        <v>46199</v>
      </c>
      <c r="E11" s="17" t="n">
        <v>46219</v>
      </c>
      <c r="F11" s="18">
        <f>E11-D11+1</f>
        <v/>
      </c>
      <c r="G11" s="18" t="inlineStr">
        <is>
          <t>Done</t>
        </is>
      </c>
    </row>
    <row r="12">
      <c r="A12" s="18" t="inlineStr">
        <is>
          <t>Sprint 1</t>
        </is>
      </c>
      <c r="B12" s="38" t="inlineStr">
        <is>
          <t>Track C - Mobile App</t>
        </is>
      </c>
      <c r="C12" s="16" t="inlineStr">
        <is>
          <t>Scaffold Android Studio project in Kotlin</t>
        </is>
      </c>
      <c r="D12" s="17" t="n">
        <v>46199</v>
      </c>
      <c r="E12" s="17" t="n">
        <v>46219</v>
      </c>
      <c r="F12" s="18">
        <f>E12-D12+1</f>
        <v/>
      </c>
      <c r="G12" s="18" t="inlineStr">
        <is>
          <t>Done</t>
        </is>
      </c>
    </row>
    <row r="13" ht="25.5" customHeight="1">
      <c r="A13" s="18" t="inlineStr">
        <is>
          <t>Sprint 1</t>
        </is>
      </c>
      <c r="B13" s="38" t="inlineStr">
        <is>
          <t>Track C - Mobile App</t>
        </is>
      </c>
      <c r="C13" s="16" t="inlineStr">
        <is>
          <t>Build onboarding screens: Loading, Default SMS App, Allow Access, Confirm Number, Enter Code, Terms &amp; Privacy, Profile Setup, Protected</t>
        </is>
      </c>
      <c r="D13" s="17" t="n">
        <v>46199</v>
      </c>
      <c r="E13" s="17" t="n">
        <v>46219</v>
      </c>
      <c r="F13" s="18">
        <f>E13-D13+1</f>
        <v/>
      </c>
      <c r="G13" s="18" t="inlineStr">
        <is>
          <t>Done</t>
        </is>
      </c>
    </row>
    <row r="14">
      <c r="A14" s="18" t="inlineStr">
        <is>
          <t>Sprint 1</t>
        </is>
      </c>
      <c r="B14" s="38" t="inlineStr">
        <is>
          <t>Track C - Mobile App</t>
        </is>
      </c>
      <c r="C14" s="16" t="inlineStr">
        <is>
          <t>Wire onboarding to Track A auth API</t>
        </is>
      </c>
      <c r="D14" s="17" t="n">
        <v>46199</v>
      </c>
      <c r="E14" s="17" t="n">
        <v>46219</v>
      </c>
      <c r="F14" s="18">
        <f>E14-D14+1</f>
        <v/>
      </c>
      <c r="G14" s="18" t="inlineStr">
        <is>
          <t>Done</t>
        </is>
      </c>
    </row>
    <row r="15">
      <c r="A15" s="18" t="inlineStr">
        <is>
          <t>Sprint 1</t>
        </is>
      </c>
      <c r="B15" s="39" t="inlineStr">
        <is>
          <t>Track D - Web Dashboard</t>
        </is>
      </c>
      <c r="C15" s="16" t="inlineStr">
        <is>
          <t>Scaffold React + Vite project</t>
        </is>
      </c>
      <c r="D15" s="17" t="n">
        <v>46199</v>
      </c>
      <c r="E15" s="17" t="n">
        <v>46219</v>
      </c>
      <c r="F15" s="18">
        <f>E15-D15+1</f>
        <v/>
      </c>
      <c r="G15" s="18" t="inlineStr">
        <is>
          <t>Done</t>
        </is>
      </c>
    </row>
    <row r="16">
      <c r="A16" s="18" t="inlineStr">
        <is>
          <t>Sprint 1</t>
        </is>
      </c>
      <c r="B16" s="39" t="inlineStr">
        <is>
          <t>Track D - Web Dashboard</t>
        </is>
      </c>
      <c r="C16" s="16" t="inlineStr">
        <is>
          <t>Build Admin Portal login/2FA page and dashboard shell/navigation</t>
        </is>
      </c>
      <c r="D16" s="17" t="n">
        <v>46199</v>
      </c>
      <c r="E16" s="17" t="n">
        <v>46219</v>
      </c>
      <c r="F16" s="18">
        <f>E16-D16+1</f>
        <v/>
      </c>
      <c r="G16" s="18" t="inlineStr">
        <is>
          <t>Done</t>
        </is>
      </c>
    </row>
    <row r="17" ht="25.5" customHeight="1">
      <c r="A17" s="18" t="inlineStr">
        <is>
          <t>Sprint 2</t>
        </is>
      </c>
      <c r="B17" s="36" t="inlineStr">
        <is>
          <t>Track A - Backend &amp; Infrastructure</t>
        </is>
      </c>
      <c r="C17" s="16" t="inlineStr">
        <is>
          <t>Build classification API endpoint linking mobile app to ML service</t>
        </is>
      </c>
      <c r="D17" s="17" t="n">
        <v>46220</v>
      </c>
      <c r="E17" s="17" t="n">
        <v>46240</v>
      </c>
      <c r="F17" s="18">
        <f>E17-D17+1</f>
        <v/>
      </c>
      <c r="G17" s="18" t="inlineStr">
        <is>
          <t>Done</t>
        </is>
      </c>
    </row>
    <row r="18" ht="25.5" customHeight="1">
      <c r="A18" s="18" t="inlineStr">
        <is>
          <t>Sprint 2</t>
        </is>
      </c>
      <c r="B18" s="36" t="inlineStr">
        <is>
          <t>Track A - Backend &amp; Infrastructure</t>
        </is>
      </c>
      <c r="C18" s="16" t="inlineStr">
        <is>
          <t>Implement Message_Features and Classifications tables and storage logic</t>
        </is>
      </c>
      <c r="D18" s="17" t="n">
        <v>46220</v>
      </c>
      <c r="E18" s="17" t="n">
        <v>46240</v>
      </c>
      <c r="F18" s="18">
        <f>E18-D18+1</f>
        <v/>
      </c>
      <c r="G18" s="18" t="inlineStr">
        <is>
          <t>Done</t>
        </is>
      </c>
    </row>
    <row r="19" ht="25.5" customHeight="1">
      <c r="A19" s="18" t="inlineStr">
        <is>
          <t>Sprint 2</t>
        </is>
      </c>
      <c r="B19" s="36" t="inlineStr">
        <is>
          <t>Track A - Backend &amp; Infrastructure</t>
        </is>
      </c>
      <c r="C19" s="16" t="inlineStr">
        <is>
          <t>Set up documented RESTful API contract between mobile app and backend</t>
        </is>
      </c>
      <c r="D19" s="17" t="n">
        <v>46220</v>
      </c>
      <c r="E19" s="17" t="n">
        <v>46240</v>
      </c>
      <c r="F19" s="18">
        <f>E19-D19+1</f>
        <v/>
      </c>
      <c r="G19" s="18" t="inlineStr">
        <is>
          <t>Done</t>
        </is>
      </c>
    </row>
    <row r="20">
      <c r="A20" s="18" t="inlineStr">
        <is>
          <t>Sprint 2</t>
        </is>
      </c>
      <c r="B20" s="37" t="inlineStr">
        <is>
          <t>Track B - AI/ML Pipeline</t>
        </is>
      </c>
      <c r="C20" s="16" t="inlineStr">
        <is>
          <t>Complete privacy masking + normalization pipeline</t>
        </is>
      </c>
      <c r="D20" s="17" t="n">
        <v>46220</v>
      </c>
      <c r="E20" s="17" t="n">
        <v>46240</v>
      </c>
      <c r="F20" s="18">
        <f>E20-D20+1</f>
        <v/>
      </c>
      <c r="G20" s="18" t="inlineStr">
        <is>
          <t>Done</t>
        </is>
      </c>
    </row>
    <row r="21" ht="25.5" customHeight="1">
      <c r="A21" s="18" t="inlineStr">
        <is>
          <t>Sprint 2</t>
        </is>
      </c>
      <c r="B21" s="37" t="inlineStr">
        <is>
          <t>Track B - AI/ML Pipeline</t>
        </is>
      </c>
      <c r="C21" s="16" t="inlineStr">
        <is>
          <t>Fine-tune XLM-RoBERTa on Philippine smishing dataset (Tagalog/English/Taglish)</t>
        </is>
      </c>
      <c r="D21" s="17" t="n">
        <v>46220</v>
      </c>
      <c r="E21" s="17" t="n">
        <v>46240</v>
      </c>
      <c r="F21" s="18">
        <f>E21-D21+1</f>
        <v/>
      </c>
      <c r="G21" s="18" t="inlineStr">
        <is>
          <t>Done</t>
        </is>
      </c>
    </row>
    <row r="22" ht="25.5" customHeight="1">
      <c r="A22" s="18" t="inlineStr">
        <is>
          <t>Sprint 2</t>
        </is>
      </c>
      <c r="B22" s="37" t="inlineStr">
        <is>
          <t>Track B - AI/ML Pipeline</t>
        </is>
      </c>
      <c r="C22" s="16" t="inlineStr">
        <is>
          <t>Implement softmax classification head (Ham / Spam / Scam)</t>
        </is>
      </c>
      <c r="D22" s="17" t="n">
        <v>46220</v>
      </c>
      <c r="E22" s="17" t="n">
        <v>46240</v>
      </c>
      <c r="F22" s="18">
        <f>E22-D22+1</f>
        <v/>
      </c>
      <c r="G22" s="18" t="inlineStr">
        <is>
          <t>Done</t>
        </is>
      </c>
    </row>
    <row r="23" ht="25.5" customHeight="1">
      <c r="A23" s="18" t="inlineStr">
        <is>
          <t>Sprint 2</t>
        </is>
      </c>
      <c r="B23" s="37" t="inlineStr">
        <is>
          <t>Track B - AI/ML Pipeline</t>
        </is>
      </c>
      <c r="C23" s="16" t="inlineStr">
        <is>
          <t>Implement confidence threshold routing (&gt;=0.90 auto-block, 0.50-0.90 alert, &lt;0.50 inbox)</t>
        </is>
      </c>
      <c r="D23" s="17" t="n">
        <v>46220</v>
      </c>
      <c r="E23" s="17" t="n">
        <v>46240</v>
      </c>
      <c r="F23" s="18">
        <f>E23-D23+1</f>
        <v/>
      </c>
      <c r="G23" s="18" t="inlineStr">
        <is>
          <t>Done</t>
        </is>
      </c>
    </row>
    <row r="24">
      <c r="A24" s="18" t="inlineStr">
        <is>
          <t>Sprint 2</t>
        </is>
      </c>
      <c r="B24" s="38" t="inlineStr">
        <is>
          <t>Track C - Mobile App</t>
        </is>
      </c>
      <c r="C24" s="16" t="inlineStr">
        <is>
          <t>Implement default SMS broadcast receiver</t>
        </is>
      </c>
      <c r="D24" s="17" t="n">
        <v>46220</v>
      </c>
      <c r="E24" s="17" t="n">
        <v>46240</v>
      </c>
      <c r="F24" s="18">
        <f>E24-D24+1</f>
        <v/>
      </c>
      <c r="G24" s="18" t="inlineStr">
        <is>
          <t>Done</t>
        </is>
      </c>
    </row>
    <row r="25">
      <c r="A25" s="18" t="inlineStr">
        <is>
          <t>Sprint 2</t>
        </is>
      </c>
      <c r="B25" s="38" t="inlineStr">
        <is>
          <t>Track C - Mobile App</t>
        </is>
      </c>
      <c r="C25" s="16" t="inlineStr">
        <is>
          <t>Build Home Screen and Messages: Inbox Screen</t>
        </is>
      </c>
      <c r="D25" s="17" t="n">
        <v>46220</v>
      </c>
      <c r="E25" s="17" t="n">
        <v>46240</v>
      </c>
      <c r="F25" s="18">
        <f>E25-D25+1</f>
        <v/>
      </c>
      <c r="G25" s="18" t="inlineStr">
        <is>
          <t>Done</t>
        </is>
      </c>
    </row>
    <row r="26">
      <c r="A26" s="18" t="inlineStr">
        <is>
          <t>Sprint 2</t>
        </is>
      </c>
      <c r="B26" s="38" t="inlineStr">
        <is>
          <t>Track C - Mobile App</t>
        </is>
      </c>
      <c r="C26" s="16" t="inlineStr">
        <is>
          <t>Build Suspicious Filter Screen and Suspicious Message Detail Screen</t>
        </is>
      </c>
      <c r="D26" s="17" t="n">
        <v>46220</v>
      </c>
      <c r="E26" s="17" t="n">
        <v>46240</v>
      </c>
      <c r="F26" s="18">
        <f>E26-D26+1</f>
        <v/>
      </c>
      <c r="G26" s="18" t="inlineStr">
        <is>
          <t>Done</t>
        </is>
      </c>
    </row>
    <row r="27">
      <c r="A27" s="18" t="inlineStr">
        <is>
          <t>Sprint 2</t>
        </is>
      </c>
      <c r="B27" s="38" t="inlineStr">
        <is>
          <t>Track C - Mobile App</t>
        </is>
      </c>
      <c r="C27" s="16" t="inlineStr">
        <is>
          <t>Build Unsafe Link Screen and Take Action Selection Screen</t>
        </is>
      </c>
      <c r="D27" s="17" t="n">
        <v>46220</v>
      </c>
      <c r="E27" s="17" t="n">
        <v>46240</v>
      </c>
      <c r="F27" s="18">
        <f>E27-D27+1</f>
        <v/>
      </c>
      <c r="G27" s="18" t="inlineStr">
        <is>
          <t>Done</t>
        </is>
      </c>
    </row>
    <row r="28">
      <c r="A28" s="18" t="inlineStr">
        <is>
          <t>Sprint 2</t>
        </is>
      </c>
      <c r="B28" s="39" t="inlineStr">
        <is>
          <t>Track D - Web Dashboard</t>
        </is>
      </c>
      <c r="C28" s="16" t="inlineStr">
        <is>
          <t>Build Admin Overview Page and Admin Classification Log Page</t>
        </is>
      </c>
      <c r="D28" s="17" t="n">
        <v>46220</v>
      </c>
      <c r="E28" s="17" t="n">
        <v>46240</v>
      </c>
      <c r="F28" s="18">
        <f>E28-D28+1</f>
        <v/>
      </c>
      <c r="G28" s="18" t="inlineStr">
        <is>
          <t>Done</t>
        </is>
      </c>
    </row>
    <row r="29" ht="25.5" customHeight="1">
      <c r="A29" s="18" t="inlineStr">
        <is>
          <t>Sprint 3</t>
        </is>
      </c>
      <c r="B29" s="36" t="inlineStr">
        <is>
          <t>Track A - Backend &amp; Infrastructure</t>
        </is>
      </c>
      <c r="C29" s="16" t="inlineStr">
        <is>
          <t>Implement Campaign_Cluster, Explainable_Indicator, Sender_Verification_Cache tables</t>
        </is>
      </c>
      <c r="D29" s="17" t="n">
        <v>46241</v>
      </c>
      <c r="E29" s="17" t="n">
        <v>46261</v>
      </c>
      <c r="F29" s="18">
        <f>E29-D29+1</f>
        <v/>
      </c>
      <c r="G29" s="18" t="inlineStr">
        <is>
          <t>Not started</t>
        </is>
      </c>
    </row>
    <row r="30" ht="25.5" customHeight="1">
      <c r="A30" s="18" t="inlineStr">
        <is>
          <t>Sprint 3</t>
        </is>
      </c>
      <c r="B30" s="36" t="inlineStr">
        <is>
          <t>Track A - Backend &amp; Infrastructure</t>
        </is>
      </c>
      <c r="C30" s="16" t="inlineStr">
        <is>
          <t>Build sender verification endpoint</t>
        </is>
      </c>
      <c r="D30" s="17" t="n">
        <v>46241</v>
      </c>
      <c r="E30" s="17" t="n">
        <v>46261</v>
      </c>
      <c r="F30" s="18">
        <f>E30-D30+1</f>
        <v/>
      </c>
      <c r="G30" s="18" t="inlineStr">
        <is>
          <t>Not started</t>
        </is>
      </c>
    </row>
    <row r="31" ht="25.5" customHeight="1">
      <c r="A31" s="18" t="inlineStr">
        <is>
          <t>Sprint 3</t>
        </is>
      </c>
      <c r="B31" s="36" t="inlineStr">
        <is>
          <t>Track A - Backend &amp; Infrastructure</t>
        </is>
      </c>
      <c r="C31" s="16" t="inlineStr">
        <is>
          <t>Build link suppression logic at the API layer</t>
        </is>
      </c>
      <c r="D31" s="17" t="n">
        <v>46241</v>
      </c>
      <c r="E31" s="17" t="n">
        <v>46261</v>
      </c>
      <c r="F31" s="18">
        <f>E31-D31+1</f>
        <v/>
      </c>
      <c r="G31" s="18" t="inlineStr">
        <is>
          <t>Not started</t>
        </is>
      </c>
    </row>
    <row r="32">
      <c r="A32" s="18" t="inlineStr">
        <is>
          <t>Sprint 3</t>
        </is>
      </c>
      <c r="B32" s="37" t="inlineStr">
        <is>
          <t>Track B - AI/ML Pipeline</t>
        </is>
      </c>
      <c r="C32" s="16" t="inlineStr">
        <is>
          <t>Implement cosine similarity centroid comparison (threshold 0.85)</t>
        </is>
      </c>
      <c r="D32" s="17" t="n">
        <v>46241</v>
      </c>
      <c r="E32" s="17" t="n">
        <v>46261</v>
      </c>
      <c r="F32" s="18">
        <f>E32-D32+1</f>
        <v/>
      </c>
      <c r="G32" s="18" t="inlineStr">
        <is>
          <t>Not started</t>
        </is>
      </c>
    </row>
    <row r="33">
      <c r="A33" s="18" t="inlineStr">
        <is>
          <t>Sprint 3</t>
        </is>
      </c>
      <c r="B33" s="37" t="inlineStr">
        <is>
          <t>Track B - AI/ML Pipeline</t>
        </is>
      </c>
      <c r="C33" s="16" t="inlineStr">
        <is>
          <t>Implement HDBSCAN offline re-clustering (min_cluster_size = 5)</t>
        </is>
      </c>
      <c r="D33" s="17" t="n">
        <v>46241</v>
      </c>
      <c r="E33" s="17" t="n">
        <v>46261</v>
      </c>
      <c r="F33" s="18">
        <f>E33-D33+1</f>
        <v/>
      </c>
      <c r="G33" s="18" t="inlineStr">
        <is>
          <t>Not started</t>
        </is>
      </c>
    </row>
    <row r="34">
      <c r="A34" s="18" t="inlineStr">
        <is>
          <t>Sprint 3</t>
        </is>
      </c>
      <c r="B34" s="37" t="inlineStr">
        <is>
          <t>Track B - AI/ML Pipeline</t>
        </is>
      </c>
      <c r="C34" s="16" t="inlineStr">
        <is>
          <t>Integrate SHAP explainability + indicator tag mapping dictionary</t>
        </is>
      </c>
      <c r="D34" s="17" t="n">
        <v>46241</v>
      </c>
      <c r="E34" s="17" t="n">
        <v>46261</v>
      </c>
      <c r="F34" s="18">
        <f>E34-D34+1</f>
        <v/>
      </c>
      <c r="G34" s="18" t="inlineStr">
        <is>
          <t>Not started</t>
        </is>
      </c>
    </row>
    <row r="35">
      <c r="A35" s="18" t="inlineStr">
        <is>
          <t>Sprint 3</t>
        </is>
      </c>
      <c r="B35" s="37" t="inlineStr">
        <is>
          <t>Track B - AI/ML Pipeline</t>
        </is>
      </c>
      <c r="C35" s="16" t="inlineStr">
        <is>
          <t>Build scam awareness tip lookup tied to cluster ID</t>
        </is>
      </c>
      <c r="D35" s="17" t="n">
        <v>46241</v>
      </c>
      <c r="E35" s="17" t="n">
        <v>46261</v>
      </c>
      <c r="F35" s="18">
        <f>E35-D35+1</f>
        <v/>
      </c>
      <c r="G35" s="18" t="inlineStr">
        <is>
          <t>Not started</t>
        </is>
      </c>
    </row>
    <row r="36">
      <c r="A36" s="18" t="inlineStr">
        <is>
          <t>Sprint 3</t>
        </is>
      </c>
      <c r="B36" s="38" t="inlineStr">
        <is>
          <t>Track C - Mobile App</t>
        </is>
      </c>
      <c r="C36" s="16" t="inlineStr">
        <is>
          <t>Build Alert Screen and Suspicious Alert Screen</t>
        </is>
      </c>
      <c r="D36" s="17" t="n">
        <v>46241</v>
      </c>
      <c r="E36" s="17" t="n">
        <v>46261</v>
      </c>
      <c r="F36" s="18">
        <f>E36-D36+1</f>
        <v/>
      </c>
      <c r="G36" s="18" t="inlineStr">
        <is>
          <t>Not started</t>
        </is>
      </c>
    </row>
    <row r="37">
      <c r="A37" s="18" t="inlineStr">
        <is>
          <t>Sprint 3</t>
        </is>
      </c>
      <c r="B37" s="38" t="inlineStr">
        <is>
          <t>Track C - Mobile App</t>
        </is>
      </c>
      <c r="C37" s="16" t="inlineStr">
        <is>
          <t>Build Campaign Screen, Active/Inactive Campaign Modal/Screen</t>
        </is>
      </c>
      <c r="D37" s="17" t="n">
        <v>46241</v>
      </c>
      <c r="E37" s="17" t="n">
        <v>46261</v>
      </c>
      <c r="F37" s="18">
        <f>E37-D37+1</f>
        <v/>
      </c>
      <c r="G37" s="18" t="inlineStr">
        <is>
          <t>Not started</t>
        </is>
      </c>
    </row>
    <row r="38" ht="25.5" customHeight="1">
      <c r="A38" s="18" t="inlineStr">
        <is>
          <t>Sprint 3</t>
        </is>
      </c>
      <c r="B38" s="38" t="inlineStr">
        <is>
          <t>Track C - Mobile App</t>
        </is>
      </c>
      <c r="C38" s="16" t="inlineStr">
        <is>
          <t>Build Notifications: Threat Alert, Weekly Report, Smishing Alert, Weekly Alert</t>
        </is>
      </c>
      <c r="D38" s="17" t="n">
        <v>46241</v>
      </c>
      <c r="E38" s="17" t="n">
        <v>46261</v>
      </c>
      <c r="F38" s="18">
        <f>E38-D38+1</f>
        <v/>
      </c>
      <c r="G38" s="18" t="inlineStr">
        <is>
          <t>Not started</t>
        </is>
      </c>
    </row>
    <row r="39">
      <c r="A39" s="18" t="inlineStr">
        <is>
          <t>Sprint 3</t>
        </is>
      </c>
      <c r="B39" s="38" t="inlineStr">
        <is>
          <t>Track C - Mobile App</t>
        </is>
      </c>
      <c r="C39" s="16" t="inlineStr">
        <is>
          <t>Build Settings: Scam Awareness Tips Screen and Tip Details Screen</t>
        </is>
      </c>
      <c r="D39" s="17" t="n">
        <v>46241</v>
      </c>
      <c r="E39" s="17" t="n">
        <v>46261</v>
      </c>
      <c r="F39" s="18">
        <f>E39-D39+1</f>
        <v/>
      </c>
      <c r="G39" s="18" t="inlineStr">
        <is>
          <t>Not started</t>
        </is>
      </c>
    </row>
    <row r="40" ht="25.5" customHeight="1">
      <c r="A40" s="18" t="inlineStr">
        <is>
          <t>Sprint 3</t>
        </is>
      </c>
      <c r="B40" s="39" t="inlineStr">
        <is>
          <t>Track D - Web Dashboard</t>
        </is>
      </c>
      <c r="C40" s="16" t="inlineStr">
        <is>
          <t>Build Admin Concept Drift Page and Admin Campaign / Campaign Timeline Page</t>
        </is>
      </c>
      <c r="D40" s="17" t="n">
        <v>46241</v>
      </c>
      <c r="E40" s="17" t="n">
        <v>46261</v>
      </c>
      <c r="F40" s="18">
        <f>E40-D40+1</f>
        <v/>
      </c>
      <c r="G40" s="18" t="inlineStr">
        <is>
          <t>Not started</t>
        </is>
      </c>
    </row>
    <row r="41">
      <c r="A41" s="18" t="inlineStr">
        <is>
          <t>Sprint 3</t>
        </is>
      </c>
      <c r="B41" s="39" t="inlineStr">
        <is>
          <t>Track D - Web Dashboard</t>
        </is>
      </c>
      <c r="C41" s="16" t="inlineStr">
        <is>
          <t>Build Admin Dataset Management Page</t>
        </is>
      </c>
      <c r="D41" s="17" t="n">
        <v>46241</v>
      </c>
      <c r="E41" s="17" t="n">
        <v>46261</v>
      </c>
      <c r="F41" s="18">
        <f>E41-D41+1</f>
        <v/>
      </c>
      <c r="G41" s="18" t="inlineStr">
        <is>
          <t>Not started</t>
        </is>
      </c>
    </row>
    <row r="42" ht="25.5" customHeight="1">
      <c r="A42" s="18" t="inlineStr">
        <is>
          <t>Sprint 4</t>
        </is>
      </c>
      <c r="B42" s="36" t="inlineStr">
        <is>
          <t>Track A - Backend &amp; Infrastructure</t>
        </is>
      </c>
      <c r="C42" s="16" t="inlineStr">
        <is>
          <t>Implement report feedback pipeline (UserReports -&gt; admin validate/reject -&gt; training dataset)</t>
        </is>
      </c>
      <c r="D42" s="17" t="n">
        <v>46262</v>
      </c>
      <c r="E42" s="17" t="n">
        <v>46282</v>
      </c>
      <c r="F42" s="18">
        <f>E42-D42+1</f>
        <v/>
      </c>
      <c r="G42" s="18" t="inlineStr">
        <is>
          <t>Not started</t>
        </is>
      </c>
    </row>
    <row r="43" ht="25.5" customHeight="1">
      <c r="A43" s="18" t="inlineStr">
        <is>
          <t>Sprint 4</t>
        </is>
      </c>
      <c r="B43" s="36" t="inlineStr">
        <is>
          <t>Track A - Backend &amp; Infrastructure</t>
        </is>
      </c>
      <c r="C43" s="16" t="inlineStr">
        <is>
          <t>Implement hourly retraining trigger check (sample count, F1 drop, Page-Hinkley drift)</t>
        </is>
      </c>
      <c r="D43" s="17" t="n">
        <v>46262</v>
      </c>
      <c r="E43" s="17" t="n">
        <v>46282</v>
      </c>
      <c r="F43" s="18">
        <f>E43-D43+1</f>
        <v/>
      </c>
      <c r="G43" s="18" t="inlineStr">
        <is>
          <t>Not started</t>
        </is>
      </c>
    </row>
    <row r="44" ht="25.5" customHeight="1">
      <c r="A44" s="18" t="inlineStr">
        <is>
          <t>Sprint 4</t>
        </is>
      </c>
      <c r="B44" s="36" t="inlineStr">
        <is>
          <t>Track A - Backend &amp; Infrastructure</t>
        </is>
      </c>
      <c r="C44" s="16" t="inlineStr">
        <is>
          <t>Implement ModelVersions table and promotion/rollback logic</t>
        </is>
      </c>
      <c r="D44" s="17" t="n">
        <v>46262</v>
      </c>
      <c r="E44" s="17" t="n">
        <v>46282</v>
      </c>
      <c r="F44" s="18">
        <f>E44-D44+1</f>
        <v/>
      </c>
      <c r="G44" s="18" t="inlineStr">
        <is>
          <t>Not started</t>
        </is>
      </c>
    </row>
    <row r="45" ht="25.5" customHeight="1">
      <c r="A45" s="18" t="inlineStr">
        <is>
          <t>Sprint 4</t>
        </is>
      </c>
      <c r="B45" s="37" t="inlineStr">
        <is>
          <t>Track B - AI/ML Pipeline</t>
        </is>
      </c>
      <c r="C45" s="16" t="inlineStr">
        <is>
          <t>Build automated retraining workflow (snapshot, AdamW fine-tune, reservoir update, McNemar/F1 gate)</t>
        </is>
      </c>
      <c r="D45" s="17" t="n">
        <v>46262</v>
      </c>
      <c r="E45" s="17" t="n">
        <v>46282</v>
      </c>
      <c r="F45" s="18">
        <f>E45-D45+1</f>
        <v/>
      </c>
      <c r="G45" s="18" t="inlineStr">
        <is>
          <t>Not started</t>
        </is>
      </c>
    </row>
    <row r="46">
      <c r="A46" s="18" t="inlineStr">
        <is>
          <t>Sprint 4</t>
        </is>
      </c>
      <c r="B46" s="37" t="inlineStr">
        <is>
          <t>Track B - AI/ML Pipeline</t>
        </is>
      </c>
      <c r="C46" s="16" t="inlineStr">
        <is>
          <t>Build campaign evolution tracking logic</t>
        </is>
      </c>
      <c r="D46" s="17" t="n">
        <v>46262</v>
      </c>
      <c r="E46" s="17" t="n">
        <v>46282</v>
      </c>
      <c r="F46" s="18">
        <f>E46-D46+1</f>
        <v/>
      </c>
      <c r="G46" s="18" t="inlineStr">
        <is>
          <t>Not started</t>
        </is>
      </c>
    </row>
    <row r="47">
      <c r="A47" s="18" t="inlineStr">
        <is>
          <t>Sprint 4</t>
        </is>
      </c>
      <c r="B47" s="37" t="inlineStr">
        <is>
          <t>Track B - AI/ML Pipeline</t>
        </is>
      </c>
      <c r="C47" s="16" t="inlineStr">
        <is>
          <t>Implement TF-IDF extractive summarization for unread threads</t>
        </is>
      </c>
      <c r="D47" s="17" t="n">
        <v>46262</v>
      </c>
      <c r="E47" s="17" t="n">
        <v>46282</v>
      </c>
      <c r="F47" s="18">
        <f>E47-D47+1</f>
        <v/>
      </c>
      <c r="G47" s="18" t="inlineStr">
        <is>
          <t>Not started</t>
        </is>
      </c>
    </row>
    <row r="48">
      <c r="A48" s="18" t="inlineStr">
        <is>
          <t>Sprint 4</t>
        </is>
      </c>
      <c r="B48" s="38" t="inlineStr">
        <is>
          <t>Track C - Mobile App</t>
        </is>
      </c>
      <c r="C48" s="16" t="inlineStr">
        <is>
          <t>Build Compose Message Screen and Unknown Filter Screen</t>
        </is>
      </c>
      <c r="D48" s="17" t="n">
        <v>46262</v>
      </c>
      <c r="E48" s="17" t="n">
        <v>46282</v>
      </c>
      <c r="F48" s="18">
        <f>E48-D48+1</f>
        <v/>
      </c>
      <c r="G48" s="18" t="inlineStr">
        <is>
          <t>Not started</t>
        </is>
      </c>
    </row>
    <row r="49">
      <c r="A49" s="18" t="inlineStr">
        <is>
          <t>Sprint 4</t>
        </is>
      </c>
      <c r="B49" s="38" t="inlineStr">
        <is>
          <t>Track C - Mobile App</t>
        </is>
      </c>
      <c r="C49" s="16" t="inlineStr">
        <is>
          <t>Build AI Message Summary display</t>
        </is>
      </c>
      <c r="D49" s="17" t="n">
        <v>46262</v>
      </c>
      <c r="E49" s="17" t="n">
        <v>46282</v>
      </c>
      <c r="F49" s="18">
        <f>E49-D49+1</f>
        <v/>
      </c>
      <c r="G49" s="18" t="inlineStr">
        <is>
          <t>Not started</t>
        </is>
      </c>
    </row>
    <row r="50">
      <c r="A50" s="18" t="inlineStr">
        <is>
          <t>Sprint 4</t>
        </is>
      </c>
      <c r="B50" s="38" t="inlineStr">
        <is>
          <t>Track C - Mobile App</t>
        </is>
      </c>
      <c r="C50" s="16" t="inlineStr">
        <is>
          <t>Build Settings: Blocked Numbers Screen</t>
        </is>
      </c>
      <c r="D50" s="17" t="n">
        <v>46262</v>
      </c>
      <c r="E50" s="17" t="n">
        <v>46282</v>
      </c>
      <c r="F50" s="18">
        <f>E50-D50+1</f>
        <v/>
      </c>
      <c r="G50" s="18" t="inlineStr">
        <is>
          <t>Not started</t>
        </is>
      </c>
    </row>
    <row r="51">
      <c r="A51" s="18" t="inlineStr">
        <is>
          <t>Sprint 4</t>
        </is>
      </c>
      <c r="B51" s="39" t="inlineStr">
        <is>
          <t>Track D - Web Dashboard</t>
        </is>
      </c>
      <c r="C51" s="16" t="inlineStr">
        <is>
          <t>Build Admin User Reports, FP/FN Review, Model Performance Pages</t>
        </is>
      </c>
      <c r="D51" s="17" t="n">
        <v>46262</v>
      </c>
      <c r="E51" s="17" t="n">
        <v>46282</v>
      </c>
      <c r="F51" s="18">
        <f>E51-D51+1</f>
        <v/>
      </c>
      <c r="G51" s="18" t="inlineStr">
        <is>
          <t>Not started</t>
        </is>
      </c>
    </row>
    <row r="52" ht="25.5" customHeight="1">
      <c r="A52" s="18" t="inlineStr">
        <is>
          <t>Sprint 4</t>
        </is>
      </c>
      <c r="B52" s="39" t="inlineStr">
        <is>
          <t>Track D - Web Dashboard</t>
        </is>
      </c>
      <c r="C52" s="16" t="inlineStr">
        <is>
          <t>Build Admin Registered Users, Export Hub, Server Monitoring, API Logs, DB Storage Pages</t>
        </is>
      </c>
      <c r="D52" s="17" t="n">
        <v>46262</v>
      </c>
      <c r="E52" s="17" t="n">
        <v>46282</v>
      </c>
      <c r="F52" s="18">
        <f>E52-D52+1</f>
        <v/>
      </c>
      <c r="G52" s="18" t="inlineStr">
        <is>
          <t>Not started</t>
        </is>
      </c>
    </row>
    <row r="53">
      <c r="A53" s="18" t="inlineStr">
        <is>
          <t>Sprint 4</t>
        </is>
      </c>
      <c r="B53" s="39" t="inlineStr">
        <is>
          <t>Track D - Web Dashboard</t>
        </is>
      </c>
      <c r="C53" s="16" t="inlineStr">
        <is>
          <t>Build Admin Scam Tips, Settings, Notifications Pages</t>
        </is>
      </c>
      <c r="D53" s="17" t="n">
        <v>46262</v>
      </c>
      <c r="E53" s="17" t="n">
        <v>46282</v>
      </c>
      <c r="F53" s="18">
        <f>E53-D53+1</f>
        <v/>
      </c>
      <c r="G53" s="18" t="inlineStr">
        <is>
          <t>Not started</t>
        </is>
      </c>
    </row>
    <row r="54" ht="25.5" customHeight="1">
      <c r="A54" s="18" t="inlineStr">
        <is>
          <t>Sprint 5</t>
        </is>
      </c>
      <c r="B54" s="36" t="inlineStr">
        <is>
          <t>Track A - Backend &amp; Infrastructure</t>
        </is>
      </c>
      <c r="C54" s="16" t="inlineStr">
        <is>
          <t>End-to-end integration hardening across mobile, backend, and dashboard</t>
        </is>
      </c>
      <c r="D54" s="17" t="n">
        <v>46283</v>
      </c>
      <c r="E54" s="17" t="n">
        <v>46303</v>
      </c>
      <c r="F54" s="18">
        <f>E54-D54+1</f>
        <v/>
      </c>
      <c r="G54" s="18" t="inlineStr">
        <is>
          <t>Not started</t>
        </is>
      </c>
    </row>
    <row r="55" ht="25.5" customHeight="1">
      <c r="A55" s="18" t="inlineStr">
        <is>
          <t>Sprint 5</t>
        </is>
      </c>
      <c r="B55" s="36" t="inlineStr">
        <is>
          <t>Track A - Backend &amp; Infrastructure</t>
        </is>
      </c>
      <c r="C55" s="16" t="inlineStr">
        <is>
          <t>Security and performance pass on all API endpoints</t>
        </is>
      </c>
      <c r="D55" s="17" t="n">
        <v>46283</v>
      </c>
      <c r="E55" s="17" t="n">
        <v>46303</v>
      </c>
      <c r="F55" s="18">
        <f>E55-D55+1</f>
        <v/>
      </c>
      <c r="G55" s="18" t="inlineStr">
        <is>
          <t>Not started</t>
        </is>
      </c>
    </row>
    <row r="56" ht="25.5" customHeight="1">
      <c r="A56" s="18" t="inlineStr">
        <is>
          <t>Sprint 5</t>
        </is>
      </c>
      <c r="B56" s="36" t="inlineStr">
        <is>
          <t>Track A - Backend &amp; Infrastructure</t>
        </is>
      </c>
      <c r="C56" s="16" t="inlineStr">
        <is>
          <t>Add manual retraining trigger as fallback if automated trigger is unstable</t>
        </is>
      </c>
      <c r="D56" s="17" t="n">
        <v>46283</v>
      </c>
      <c r="E56" s="17" t="n">
        <v>46303</v>
      </c>
      <c r="F56" s="18">
        <f>E56-D56+1</f>
        <v/>
      </c>
      <c r="G56" s="18" t="inlineStr">
        <is>
          <t>Not started</t>
        </is>
      </c>
    </row>
    <row r="57">
      <c r="A57" s="18" t="inlineStr">
        <is>
          <t>Sprint 5</t>
        </is>
      </c>
      <c r="B57" s="37" t="inlineStr">
        <is>
          <t>Track B - AI/ML Pipeline</t>
        </is>
      </c>
      <c r="C57" s="16" t="inlineStr">
        <is>
          <t>Refine XLM-RoBERTa using data collected through Sprints 2-4</t>
        </is>
      </c>
      <c r="D57" s="17" t="n">
        <v>46283</v>
      </c>
      <c r="E57" s="17" t="n">
        <v>46303</v>
      </c>
      <c r="F57" s="18">
        <f>E57-D57+1</f>
        <v/>
      </c>
      <c r="G57" s="18" t="inlineStr">
        <is>
          <t>Not started</t>
        </is>
      </c>
    </row>
    <row r="58" ht="25.5" customHeight="1">
      <c r="A58" s="18" t="inlineStr">
        <is>
          <t>Sprint 5</t>
        </is>
      </c>
      <c r="B58" s="37" t="inlineStr">
        <is>
          <t>Track B - AI/ML Pipeline</t>
        </is>
      </c>
      <c r="C58" s="16" t="inlineStr">
        <is>
          <t>Re-evaluate HDBSCAN clustering thresholds against real campaign data</t>
        </is>
      </c>
      <c r="D58" s="17" t="n">
        <v>46283</v>
      </c>
      <c r="E58" s="17" t="n">
        <v>46303</v>
      </c>
      <c r="F58" s="18">
        <f>E58-D58+1</f>
        <v/>
      </c>
      <c r="G58" s="18" t="inlineStr">
        <is>
          <t>Not started</t>
        </is>
      </c>
    </row>
    <row r="59">
      <c r="A59" s="18" t="inlineStr">
        <is>
          <t>Sprint 5</t>
        </is>
      </c>
      <c r="B59" s="37" t="inlineStr">
        <is>
          <t>Track B - AI/ML Pipeline</t>
        </is>
      </c>
      <c r="C59" s="16" t="inlineStr">
        <is>
          <t>Polish SHAP indicator tag dictionary based on observed outputs</t>
        </is>
      </c>
      <c r="D59" s="17" t="n">
        <v>46283</v>
      </c>
      <c r="E59" s="17" t="n">
        <v>46303</v>
      </c>
      <c r="F59" s="18">
        <f>E59-D59+1</f>
        <v/>
      </c>
      <c r="G59" s="18" t="inlineStr">
        <is>
          <t>Not started</t>
        </is>
      </c>
    </row>
    <row r="60" ht="25.5" customHeight="1">
      <c r="A60" s="18" t="inlineStr">
        <is>
          <t>Sprint 5</t>
        </is>
      </c>
      <c r="B60" s="38" t="inlineStr">
        <is>
          <t>Track C - Mobile App</t>
        </is>
      </c>
      <c r="C60" s="16" t="inlineStr">
        <is>
          <t>Bug bash: unusual sender formats, mixed-language edge cases, low-end device performance</t>
        </is>
      </c>
      <c r="D60" s="17" t="n">
        <v>46283</v>
      </c>
      <c r="E60" s="17" t="n">
        <v>46303</v>
      </c>
      <c r="F60" s="18">
        <f>E60-D60+1</f>
        <v/>
      </c>
      <c r="G60" s="18" t="inlineStr">
        <is>
          <t>Not started</t>
        </is>
      </c>
    </row>
    <row r="61">
      <c r="A61" s="18" t="inlineStr">
        <is>
          <t>Sprint 5</t>
        </is>
      </c>
      <c r="B61" s="38" t="inlineStr">
        <is>
          <t>Track C - Mobile App</t>
        </is>
      </c>
      <c r="C61" s="16" t="inlineStr">
        <is>
          <t>UI polish based on internal dogfooding</t>
        </is>
      </c>
      <c r="D61" s="17" t="n">
        <v>46283</v>
      </c>
      <c r="E61" s="17" t="n">
        <v>46303</v>
      </c>
      <c r="F61" s="18">
        <f>E61-D61+1</f>
        <v/>
      </c>
      <c r="G61" s="18" t="inlineStr">
        <is>
          <t>Not started</t>
        </is>
      </c>
    </row>
    <row r="62">
      <c r="A62" s="18" t="inlineStr">
        <is>
          <t>Sprint 5</t>
        </is>
      </c>
      <c r="B62" s="39" t="inlineStr">
        <is>
          <t>Track D - Web Dashboard</t>
        </is>
      </c>
      <c r="C62" s="16" t="inlineStr">
        <is>
          <t>(Stretch) Client licensing/payment portal pages, if time allows</t>
        </is>
      </c>
      <c r="D62" s="17" t="n">
        <v>46283</v>
      </c>
      <c r="E62" s="17" t="n">
        <v>46303</v>
      </c>
      <c r="F62" s="18">
        <f>E62-D62+1</f>
        <v/>
      </c>
      <c r="G62" s="18" t="inlineStr">
        <is>
          <t>Not started</t>
        </is>
      </c>
    </row>
    <row r="63">
      <c r="A63" s="18" t="inlineStr">
        <is>
          <t>Sprint 5</t>
        </is>
      </c>
      <c r="B63" s="39" t="inlineStr">
        <is>
          <t>Track D - Web Dashboard</t>
        </is>
      </c>
      <c r="C63" s="16" t="inlineStr">
        <is>
          <t>Admin UX polish; finish any dashboard pages not completed in Sprint 4</t>
        </is>
      </c>
      <c r="D63" s="17" t="n">
        <v>46283</v>
      </c>
      <c r="E63" s="17" t="n">
        <v>46303</v>
      </c>
      <c r="F63" s="18">
        <f>E63-D63+1</f>
        <v/>
      </c>
      <c r="G63" s="18" t="inlineStr">
        <is>
          <t>Not started</t>
        </is>
      </c>
    </row>
    <row r="64" ht="38.25" customHeight="1">
      <c r="A64" s="18" t="inlineStr">
        <is>
          <t>Sprint 6</t>
        </is>
      </c>
      <c r="B64" s="40" t="inlineStr">
        <is>
          <t>Testing (All Tracks)</t>
        </is>
      </c>
      <c r="C64" s="16" t="inlineStr">
        <is>
          <t>Unit testing: preprocessing, classification, sender verification, link suppression, threshold mapping, summarization, tips, report feedback, storage</t>
        </is>
      </c>
      <c r="D64" s="17" t="n">
        <v>46304</v>
      </c>
      <c r="E64" s="17" t="n">
        <v>46324</v>
      </c>
      <c r="F64" s="18">
        <f>E64-D64+1</f>
        <v/>
      </c>
      <c r="G64" s="18" t="inlineStr">
        <is>
          <t>Not started</t>
        </is>
      </c>
    </row>
    <row r="65" ht="25.5" customHeight="1">
      <c r="A65" s="18" t="inlineStr">
        <is>
          <t>Sprint 6</t>
        </is>
      </c>
      <c r="B65" s="40" t="inlineStr">
        <is>
          <t>Testing (All Tracks)</t>
        </is>
      </c>
      <c r="C65" s="16" t="inlineStr">
        <is>
          <t>Integration testing across mobile, backend, database, AI model, dashboard</t>
        </is>
      </c>
      <c r="D65" s="17" t="n">
        <v>46304</v>
      </c>
      <c r="E65" s="17" t="n">
        <v>46324</v>
      </c>
      <c r="F65" s="18">
        <f>E65-D65+1</f>
        <v/>
      </c>
      <c r="G65" s="18" t="inlineStr">
        <is>
          <t>Not started</t>
        </is>
      </c>
    </row>
    <row r="66">
      <c r="A66" s="18" t="inlineStr">
        <is>
          <t>Sprint 6</t>
        </is>
      </c>
      <c r="B66" s="40" t="inlineStr">
        <is>
          <t>Testing (All Tracks)</t>
        </is>
      </c>
      <c r="C66" s="16" t="inlineStr">
        <is>
          <t>System testing: full end-to-end SMS-to-output flow</t>
        </is>
      </c>
      <c r="D66" s="17" t="n">
        <v>46304</v>
      </c>
      <c r="E66" s="17" t="n">
        <v>46324</v>
      </c>
      <c r="F66" s="18">
        <f>E66-D66+1</f>
        <v/>
      </c>
      <c r="G66" s="18" t="inlineStr">
        <is>
          <t>Not started</t>
        </is>
      </c>
    </row>
    <row r="67">
      <c r="A67" s="18" t="inlineStr">
        <is>
          <t>Sprint 6</t>
        </is>
      </c>
      <c r="B67" s="40" t="inlineStr">
        <is>
          <t>Testing (All Tracks)</t>
        </is>
      </c>
      <c r="C67" s="16" t="inlineStr">
        <is>
          <t>User Acceptance Testing with 20 general Android users</t>
        </is>
      </c>
      <c r="D67" s="17" t="n">
        <v>46304</v>
      </c>
      <c r="E67" s="17" t="n">
        <v>46324</v>
      </c>
      <c r="F67" s="18">
        <f>E67-D67+1</f>
        <v/>
      </c>
      <c r="G67" s="18" t="inlineStr">
        <is>
          <t>Not started</t>
        </is>
      </c>
    </row>
    <row r="68">
      <c r="A68" s="18" t="inlineStr">
        <is>
          <t>Sprint 6</t>
        </is>
      </c>
      <c r="B68" s="40" t="inlineStr">
        <is>
          <t>Testing (All Tracks)</t>
        </is>
      </c>
      <c r="C68" s="16" t="inlineStr">
        <is>
          <t>Expert Validation with 5 IT/cybersecurity/software professionals</t>
        </is>
      </c>
      <c r="D68" s="17" t="n">
        <v>46304</v>
      </c>
      <c r="E68" s="17" t="n">
        <v>46324</v>
      </c>
      <c r="F68" s="18">
        <f>E68-D68+1</f>
        <v/>
      </c>
      <c r="G68" s="18" t="inlineStr">
        <is>
          <t>Not started</t>
        </is>
      </c>
    </row>
    <row r="69">
      <c r="A69" s="18" t="inlineStr">
        <is>
          <t>Sprint 6</t>
        </is>
      </c>
      <c r="B69" s="40" t="inlineStr">
        <is>
          <t>Testing (All Tracks)</t>
        </is>
      </c>
      <c r="C69" s="16" t="inlineStr">
        <is>
          <t>False positive / false negative confusion matrix review</t>
        </is>
      </c>
      <c r="D69" s="17" t="n">
        <v>46304</v>
      </c>
      <c r="E69" s="17" t="n">
        <v>46324</v>
      </c>
      <c r="F69" s="18">
        <f>E69-D69+1</f>
        <v/>
      </c>
      <c r="G69" s="18" t="inlineStr">
        <is>
          <t>Not started</t>
        </is>
      </c>
    </row>
    <row r="70" ht="25.5" customHeight="1">
      <c r="A70" s="18" t="inlineStr">
        <is>
          <t>Sprint 6</t>
        </is>
      </c>
      <c r="B70" s="41" t="inlineStr">
        <is>
          <t>Deployment (Track A/B)</t>
        </is>
      </c>
      <c r="C70" s="16" t="inlineStr">
        <is>
          <t>Distribute app via APK to test group and administrators (Phase 1: Limited Deployment)</t>
        </is>
      </c>
      <c r="D70" s="17" t="n">
        <v>46304</v>
      </c>
      <c r="E70" s="17" t="n">
        <v>46324</v>
      </c>
      <c r="F70" s="18">
        <f>E70-D70+1</f>
        <v/>
      </c>
      <c r="G70" s="18" t="inlineStr">
        <is>
          <t>Not started</t>
        </is>
      </c>
    </row>
    <row r="71">
      <c r="A71" s="18" t="inlineStr">
        <is>
          <t>Sprint 6</t>
        </is>
      </c>
      <c r="B71" s="41" t="inlineStr">
        <is>
          <t>Deployment (Track A/B)</t>
        </is>
      </c>
      <c r="C71" s="16" t="inlineStr">
        <is>
          <t>Confirm real-time integration stability under live SMS conditions</t>
        </is>
      </c>
      <c r="D71" s="17" t="n">
        <v>46304</v>
      </c>
      <c r="E71" s="17" t="n">
        <v>46324</v>
      </c>
      <c r="F71" s="18">
        <f>E71-D71+1</f>
        <v/>
      </c>
      <c r="G71" s="18" t="inlineStr">
        <is>
          <t>Not started</t>
        </is>
      </c>
    </row>
    <row r="72">
      <c r="A72" s="18" t="inlineStr">
        <is>
          <t>Sprint 6</t>
        </is>
      </c>
      <c r="B72" s="41" t="inlineStr">
        <is>
          <t>Deployment (Track A/B)</t>
        </is>
      </c>
      <c r="C72" s="16" t="inlineStr">
        <is>
          <t>Track precision, recall, F1 against test-group error reports</t>
        </is>
      </c>
      <c r="D72" s="17" t="n">
        <v>46304</v>
      </c>
      <c r="E72" s="17" t="n">
        <v>46324</v>
      </c>
      <c r="F72" s="18">
        <f>E72-D72+1</f>
        <v/>
      </c>
      <c r="G72" s="18" t="inlineStr">
        <is>
          <t>Not started</t>
        </is>
      </c>
    </row>
    <row r="73">
      <c r="A73" s="18" t="inlineStr">
        <is>
          <t>Sprint 6</t>
        </is>
      </c>
      <c r="B73" s="42" t="inlineStr">
        <is>
          <t>Wrap-up (Track C/D)</t>
        </is>
      </c>
      <c r="C73" s="16" t="inlineStr">
        <is>
          <t>Bug fixes and refinements from testing</t>
        </is>
      </c>
      <c r="D73" s="17" t="n">
        <v>46304</v>
      </c>
      <c r="E73" s="17" t="n">
        <v>46324</v>
      </c>
      <c r="F73" s="18">
        <f>E73-D73+1</f>
        <v/>
      </c>
      <c r="G73" s="18" t="inlineStr">
        <is>
          <t>Not started</t>
        </is>
      </c>
    </row>
    <row r="74">
      <c r="A74" s="18" t="inlineStr">
        <is>
          <t>Sprint 6</t>
        </is>
      </c>
      <c r="B74" s="42" t="inlineStr">
        <is>
          <t>Wrap-up (Track C/D)</t>
        </is>
      </c>
      <c r="C74" s="16" t="inlineStr">
        <is>
          <t>Finalize quick-start guide</t>
        </is>
      </c>
      <c r="D74" s="17" t="n">
        <v>46304</v>
      </c>
      <c r="E74" s="17" t="n">
        <v>46324</v>
      </c>
      <c r="F74" s="18">
        <f>E74-D74+1</f>
        <v/>
      </c>
      <c r="G74" s="18" t="inlineStr">
        <is>
          <t>Not started</t>
        </is>
      </c>
    </row>
    <row r="75">
      <c r="A75" s="18" t="inlineStr">
        <is>
          <t>Sprint 6</t>
        </is>
      </c>
      <c r="B75" s="42" t="inlineStr">
        <is>
          <t>Wrap-up (Track C/D)</t>
        </is>
      </c>
      <c r="C75" s="16" t="inlineStr">
        <is>
          <t>Polish UI issues flagged during UAT</t>
        </is>
      </c>
      <c r="D75" s="17" t="n">
        <v>46304</v>
      </c>
      <c r="E75" s="17" t="n">
        <v>46324</v>
      </c>
      <c r="F75" s="18">
        <f>E75-D75+1</f>
        <v/>
      </c>
      <c r="G75" s="18" t="inlineStr">
        <is>
          <t>Not started</t>
        </is>
      </c>
    </row>
    <row r="76">
      <c r="A76" s="18" t="inlineStr">
        <is>
          <t>Sprint 6</t>
        </is>
      </c>
      <c r="B76" s="43" t="inlineStr">
        <is>
          <t>Defense Prep (All)</t>
        </is>
      </c>
      <c r="C76" s="16" t="inlineStr">
        <is>
          <t>Finalize manuscript sections affected by implementation changes</t>
        </is>
      </c>
      <c r="D76" s="17" t="n">
        <v>46304</v>
      </c>
      <c r="E76" s="17" t="n">
        <v>46324</v>
      </c>
      <c r="F76" s="18">
        <f>E76-D76+1</f>
        <v/>
      </c>
      <c r="G76" s="18" t="inlineStr">
        <is>
          <t>Not started</t>
        </is>
      </c>
    </row>
    <row r="77">
      <c r="A77" s="18" t="inlineStr">
        <is>
          <t>Sprint 6</t>
        </is>
      </c>
      <c r="B77" s="43" t="inlineStr">
        <is>
          <t>Defense Prep (All)</t>
        </is>
      </c>
      <c r="C77" s="16" t="inlineStr">
        <is>
          <t>Prepare and rehearse live demo</t>
        </is>
      </c>
      <c r="D77" s="17" t="n">
        <v>46304</v>
      </c>
      <c r="E77" s="17" t="n">
        <v>46324</v>
      </c>
      <c r="F77" s="18">
        <f>E77-D77+1</f>
        <v/>
      </c>
      <c r="G77" s="18" t="inlineStr">
        <is>
          <t>Not started</t>
        </is>
      </c>
    </row>
    <row r="78">
      <c r="A78" s="18" t="inlineStr">
        <is>
          <t>Sprint 6</t>
        </is>
      </c>
      <c r="B78" s="43" t="inlineStr">
        <is>
          <t>Defense Prep (All)</t>
        </is>
      </c>
      <c r="C78" s="16" t="inlineStr">
        <is>
          <t>Prepare defense slide deck</t>
        </is>
      </c>
      <c r="D78" s="17" t="n">
        <v>46304</v>
      </c>
      <c r="E78" s="17" t="n">
        <v>46324</v>
      </c>
      <c r="F78" s="18">
        <f>E78-D78+1</f>
        <v/>
      </c>
      <c r="G78" s="18" t="inlineStr">
        <is>
          <t>Not started</t>
        </is>
      </c>
    </row>
  </sheetData>
  <autoFilter ref="A4:G78"/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2026-07-20T04:42:14Z</dcterms:created>
  <dcterms:modified xsi:type="dcterms:W3CDTF">2026-07-28T11:31:51Z</dcterms:modified>
  <cp:lastModifiedBy>MJ De Castro</cp:lastModifiedBy>
  <cp:revision>0</cp:revision>
</cp:coreProperties>
</file>